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 defaultThemeVersion="166925"/>
  <xr:revisionPtr revIDLastSave="0" documentId="8_{16B86BE2-DA5A-4DA6-A410-C6F39AE53AE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APP" sheetId="1" r:id="rId1"/>
    <sheet name="Planilha2" sheetId="2" r:id="rId2"/>
  </sheets>
  <definedNames>
    <definedName name="qtde_anos">APP!$D$20:$D$20</definedName>
    <definedName name="qtde_mensal">APP!$D$21:$D$21</definedName>
    <definedName name="rendimento_carteira">APP!$D$13:$D$13</definedName>
    <definedName name="sugestao">APP!$D$14:$D$14</definedName>
    <definedName name="sugestao_investimento">APP!$D$14:$D$14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" l="1"/>
  <c r="B11" i="2"/>
  <c r="B12" i="2"/>
  <c r="B13" i="2"/>
  <c r="B14" i="2"/>
  <c r="B15" i="2"/>
  <c r="B16" i="2"/>
  <c r="B17" i="2"/>
  <c r="B18" i="2"/>
  <c r="B19" i="2"/>
  <c r="B20" i="2"/>
  <c r="B21" i="2"/>
  <c r="B22" i="2"/>
  <c r="B6" i="2"/>
  <c r="B7" i="2"/>
  <c r="B8" i="2"/>
  <c r="B9" i="2"/>
  <c r="B10" i="2"/>
  <c r="B5" i="2"/>
  <c r="C37" i="1"/>
  <c r="D22" i="1"/>
  <c r="C28" i="1"/>
  <c r="D28" i="1" s="1"/>
  <c r="C29" i="1"/>
  <c r="D29" i="1" s="1"/>
  <c r="C30" i="1"/>
  <c r="D30" i="1" s="1"/>
  <c r="C31" i="1"/>
  <c r="D31" i="1" s="1"/>
  <c r="C27" i="1"/>
  <c r="D27" i="1" s="1"/>
  <c r="D23" i="1"/>
  <c r="C42" i="1" l="1"/>
  <c r="C43" i="1"/>
  <c r="C44" i="1"/>
  <c r="C45" i="1"/>
  <c r="C46" i="1"/>
  <c r="C41" i="1"/>
  <c r="H6" i="2"/>
  <c r="D42" i="1"/>
  <c r="D43" i="1"/>
  <c r="D44" i="1"/>
  <c r="D45" i="1"/>
  <c r="D46" i="1"/>
  <c r="D41" i="1"/>
  <c r="D47" i="1" s="1"/>
</calcChain>
</file>

<file path=xl/sharedStrings.xml><?xml version="1.0" encoding="utf-8"?>
<sst xmlns="http://schemas.openxmlformats.org/spreadsheetml/2006/main" count="72" uniqueCount="36">
  <si>
    <t>CONFIGURAÇÕES</t>
  </si>
  <si>
    <t>Salário</t>
  </si>
  <si>
    <t>Rendimento da carteira</t>
  </si>
  <si>
    <t>Sugestão de Investimento (30%)</t>
  </si>
  <si>
    <t>Investimento mensal</t>
  </si>
  <si>
    <t>Quanto investir por mês?</t>
  </si>
  <si>
    <t>Por quantos anos?</t>
  </si>
  <si>
    <t>Taxa de rendimento mensal</t>
  </si>
  <si>
    <t>Patrimônio acumulado?</t>
  </si>
  <si>
    <t>Dividendo mensais?</t>
  </si>
  <si>
    <t>Cenários</t>
  </si>
  <si>
    <t>Dividendo</t>
  </si>
  <si>
    <t>Quanto em 2 anos?</t>
  </si>
  <si>
    <t>Quanto em 5 anos?</t>
  </si>
  <si>
    <t>Quanto em 10 anos?</t>
  </si>
  <si>
    <t>Quanto em 20 anos?</t>
  </si>
  <si>
    <t>Quanto em 30 anos?</t>
  </si>
  <si>
    <t>PERFIL</t>
  </si>
  <si>
    <t>CONSERVADOR</t>
  </si>
  <si>
    <t>VALOR A SER INVESTIDO POR MÊS</t>
  </si>
  <si>
    <t>TIPO DE FII</t>
  </si>
  <si>
    <t>Percentual sugerido</t>
  </si>
  <si>
    <t>Valores</t>
  </si>
  <si>
    <t>PAPEL</t>
  </si>
  <si>
    <t>TIJOLO</t>
  </si>
  <si>
    <t>HÍBRIDO</t>
  </si>
  <si>
    <t>FOFs</t>
  </si>
  <si>
    <t>DESENVOLVIMENTO</t>
  </si>
  <si>
    <t>HOTELARIA</t>
  </si>
  <si>
    <t>VALOR TOTAL</t>
  </si>
  <si>
    <t xml:space="preserve">CHAVE </t>
  </si>
  <si>
    <t>TIPO DE FIL</t>
  </si>
  <si>
    <t>%</t>
  </si>
  <si>
    <t>AGRESSIVO</t>
  </si>
  <si>
    <t>MODERADO-TIJOLO</t>
  </si>
  <si>
    <t>MODERADO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</si>
</sst>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15">
    <font>
      <sz val="11"/>
      <color theme="1"/>
      <name val="Calibri"/>
      <family val="2"/>
      <scheme val="minor"/>
    </font>
    <font>
      <b/>
      <sz val="20"/>
      <color rgb="FFFFFFFF"/>
      <name val="Aptos Narrow"/>
    </font>
    <font>
      <sz val="12"/>
      <color theme="1"/>
      <name val="Aptos Narrow"/>
    </font>
    <font>
      <sz val="11"/>
      <color theme="0"/>
      <name val="Calibri"/>
      <family val="2"/>
      <scheme val="minor"/>
    </font>
    <font>
      <b/>
      <sz val="12"/>
      <color rgb="FFFFFFFF"/>
      <name val="Aptos Narrow"/>
    </font>
    <font>
      <sz val="12"/>
      <color theme="1"/>
      <name val="Calibri"/>
      <family val="2"/>
      <scheme val="minor"/>
    </font>
    <font>
      <sz val="11"/>
      <color rgb="FF9C5700"/>
      <name val="Calibri"/>
      <scheme val="minor"/>
    </font>
    <font>
      <sz val="12"/>
      <color theme="0"/>
      <name val="Segoe UI"/>
    </font>
    <font>
      <sz val="12"/>
      <color theme="1"/>
      <name val="Segoe UI"/>
    </font>
    <font>
      <sz val="11"/>
      <color theme="1"/>
      <name val="Segoe UI"/>
    </font>
    <font>
      <b/>
      <sz val="20"/>
      <color rgb="FFFFFFFF"/>
      <name val="Segoe UI"/>
    </font>
    <font>
      <b/>
      <sz val="12"/>
      <color theme="1"/>
      <name val="Segoe UI"/>
    </font>
    <font>
      <b/>
      <sz val="12"/>
      <color theme="0"/>
      <name val="Segoe UI"/>
    </font>
    <font>
      <b/>
      <sz val="11"/>
      <color theme="0"/>
      <name val="Segoe UI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EB9C"/>
      </patternFill>
    </fill>
    <fill>
      <patternFill patternType="solid">
        <fgColor theme="1"/>
        <bgColor indexed="64"/>
      </patternFill>
    </fill>
  </fills>
  <borders count="46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/>
      <right style="thin">
        <color theme="2" tint="-0.249977111117893"/>
      </right>
      <top/>
      <bottom/>
      <diagonal/>
    </border>
    <border>
      <left/>
      <right style="thin">
        <color theme="0" tint="-0.249977111117893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theme="1" tint="0.499984740745262"/>
      </bottom>
      <diagonal/>
    </border>
    <border>
      <left/>
      <right/>
      <top style="medium">
        <color rgb="FF000000"/>
      </top>
      <bottom style="medium">
        <color theme="1" tint="0.499984740745262"/>
      </bottom>
      <diagonal/>
    </border>
    <border>
      <left/>
      <right style="medium">
        <color rgb="FF000000"/>
      </right>
      <top style="medium">
        <color rgb="FF000000"/>
      </top>
      <bottom style="medium">
        <color theme="1" tint="0.499984740745262"/>
      </bottom>
      <diagonal/>
    </border>
    <border>
      <left style="medium">
        <color rgb="FF000000"/>
      </left>
      <right style="thin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rgb="FF000000"/>
      </right>
      <top style="medium">
        <color theme="1" tint="0.499984740745262"/>
      </top>
      <bottom style="thin">
        <color theme="1" tint="0.499984740745262"/>
      </bottom>
      <diagonal/>
    </border>
    <border>
      <left style="medium">
        <color rgb="FF000000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rgb="FF000000"/>
      </left>
      <right style="thin">
        <color theme="1" tint="0.499984740745262"/>
      </right>
      <top style="thin">
        <color theme="1" tint="0.499984740745262"/>
      </top>
      <bottom style="medium">
        <color rgb="FF000000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medium">
        <color rgb="FF000000"/>
      </bottom>
      <diagonal/>
    </border>
    <border>
      <left style="thin">
        <color theme="1" tint="0.499984740745262"/>
      </left>
      <right style="medium">
        <color rgb="FF000000"/>
      </right>
      <top style="medium">
        <color theme="1" tint="0.499984740745262"/>
      </top>
      <bottom style="medium">
        <color rgb="FF000000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 style="thin">
        <color theme="0" tint="-0.249977111117893"/>
      </left>
      <right style="medium">
        <color theme="1"/>
      </right>
      <top/>
      <bottom style="thin">
        <color theme="0" tint="-0.249977111117893"/>
      </bottom>
      <diagonal/>
    </border>
    <border>
      <left style="medium">
        <color theme="1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medium">
        <color theme="1"/>
      </right>
      <top style="thin">
        <color theme="0" tint="-0.249977111117893"/>
      </top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 style="thin">
        <color theme="0" tint="-0.249977111117893"/>
      </right>
      <top/>
      <bottom style="medium">
        <color theme="1"/>
      </bottom>
      <diagonal/>
    </border>
    <border>
      <left style="thin">
        <color theme="0" tint="-0.249977111117893"/>
      </left>
      <right style="medium">
        <color theme="1"/>
      </right>
      <top style="thin">
        <color theme="0" tint="-0.249977111117893"/>
      </top>
      <bottom style="medium">
        <color theme="1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2" tint="-0.249977111117893"/>
      </left>
      <right style="medium">
        <color rgb="FF000000"/>
      </right>
      <top style="medium">
        <color theme="2" tint="-0.249977111117893"/>
      </top>
      <bottom style="thin">
        <color theme="2" tint="-0.249977111117893"/>
      </bottom>
      <diagonal/>
    </border>
    <border>
      <left style="medium">
        <color rgb="FF000000"/>
      </left>
      <right/>
      <top style="thin">
        <color theme="0" tint="-0.249977111117893"/>
      </top>
      <bottom/>
      <diagonal/>
    </border>
    <border>
      <left/>
      <right style="medium">
        <color rgb="FF000000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rgb="FF000000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medium">
        <color rgb="FF000000"/>
      </right>
      <top style="thin">
        <color theme="2" tint="-0.249977111117893"/>
      </top>
      <bottom/>
      <diagonal/>
    </border>
    <border>
      <left style="medium">
        <color rgb="FF000000"/>
      </left>
      <right/>
      <top/>
      <bottom style="thin">
        <color theme="0" tint="-0.249977111117893"/>
      </bottom>
      <diagonal/>
    </border>
    <border>
      <left style="medium">
        <color theme="2" tint="-0.249977111117893"/>
      </left>
      <right style="medium">
        <color rgb="FF000000"/>
      </right>
      <top style="medium">
        <color theme="2" tint="-0.249977111117893"/>
      </top>
      <bottom style="thin">
        <color theme="1" tint="0.499984740745262"/>
      </bottom>
      <diagonal/>
    </border>
    <border>
      <left/>
      <right/>
      <top/>
      <bottom style="medium">
        <color rgb="FF000000"/>
      </bottom>
      <diagonal/>
    </border>
    <border>
      <left style="medium">
        <color theme="2" tint="-0.249977111117893"/>
      </left>
      <right style="medium">
        <color rgb="FF000000"/>
      </right>
      <top style="medium">
        <color theme="1" tint="0.499984740745262"/>
      </top>
      <bottom style="medium">
        <color rgb="FF000000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1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1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</borders>
  <cellStyleXfs count="2">
    <xf numFmtId="0" fontId="0" fillId="0" borderId="0"/>
    <xf numFmtId="0" fontId="6" fillId="6" borderId="0" applyNumberFormat="0" applyBorder="0" applyAlignment="0" applyProtection="0"/>
  </cellStyleXfs>
  <cellXfs count="64">
    <xf numFmtId="0" fontId="0" fillId="0" borderId="0" xfId="0"/>
    <xf numFmtId="0" fontId="3" fillId="0" borderId="0" xfId="0" applyFont="1"/>
    <xf numFmtId="164" fontId="5" fillId="3" borderId="2" xfId="0" applyNumberFormat="1" applyFont="1" applyFill="1" applyBorder="1" applyAlignment="1">
      <alignment horizontal="center"/>
    </xf>
    <xf numFmtId="164" fontId="5" fillId="3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164" fontId="5" fillId="3" borderId="14" xfId="0" applyNumberFormat="1" applyFont="1" applyFill="1" applyBorder="1" applyAlignment="1">
      <alignment horizontal="center"/>
    </xf>
    <xf numFmtId="164" fontId="5" fillId="3" borderId="17" xfId="0" applyNumberFormat="1" applyFont="1" applyFill="1" applyBorder="1" applyAlignment="1">
      <alignment horizontal="center"/>
    </xf>
    <xf numFmtId="164" fontId="5" fillId="3" borderId="18" xfId="0" applyNumberFormat="1" applyFont="1" applyFill="1" applyBorder="1" applyAlignment="1">
      <alignment horizontal="center"/>
    </xf>
    <xf numFmtId="0" fontId="2" fillId="3" borderId="13" xfId="0" applyFont="1" applyFill="1" applyBorder="1" applyAlignment="1">
      <alignment horizontal="left" indent="2"/>
    </xf>
    <xf numFmtId="0" fontId="2" fillId="3" borderId="15" xfId="0" applyFont="1" applyFill="1" applyBorder="1" applyAlignment="1">
      <alignment horizontal="left" indent="2"/>
    </xf>
    <xf numFmtId="0" fontId="2" fillId="3" borderId="16" xfId="0" applyFont="1" applyFill="1" applyBorder="1" applyAlignment="1">
      <alignment horizontal="left" indent="2"/>
    </xf>
    <xf numFmtId="164" fontId="9" fillId="0" borderId="25" xfId="0" applyNumberFormat="1" applyFont="1" applyBorder="1" applyAlignment="1">
      <alignment horizontal="center"/>
    </xf>
    <xf numFmtId="10" fontId="9" fillId="0" borderId="27" xfId="0" applyNumberFormat="1" applyFont="1" applyBorder="1" applyAlignment="1">
      <alignment horizontal="center"/>
    </xf>
    <xf numFmtId="164" fontId="9" fillId="0" borderId="30" xfId="0" applyNumberFormat="1" applyFont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164" fontId="9" fillId="0" borderId="32" xfId="0" applyNumberFormat="1" applyFont="1" applyBorder="1" applyAlignment="1">
      <alignment horizontal="center"/>
    </xf>
    <xf numFmtId="0" fontId="9" fillId="0" borderId="34" xfId="0" applyFont="1" applyBorder="1" applyAlignment="1">
      <alignment horizontal="center"/>
    </xf>
    <xf numFmtId="10" fontId="9" fillId="0" borderId="36" xfId="0" applyNumberFormat="1" applyFont="1" applyBorder="1" applyAlignment="1">
      <alignment horizontal="center"/>
    </xf>
    <xf numFmtId="164" fontId="5" fillId="3" borderId="38" xfId="0" applyNumberFormat="1" applyFont="1" applyFill="1" applyBorder="1" applyAlignment="1">
      <alignment horizontal="center"/>
    </xf>
    <xf numFmtId="164" fontId="5" fillId="3" borderId="40" xfId="0" applyNumberFormat="1" applyFont="1" applyFill="1" applyBorder="1" applyAlignment="1">
      <alignment horizontal="center"/>
    </xf>
    <xf numFmtId="0" fontId="6" fillId="6" borderId="0" xfId="1"/>
    <xf numFmtId="0" fontId="0" fillId="3" borderId="0" xfId="0" applyFill="1"/>
    <xf numFmtId="164" fontId="0" fillId="3" borderId="0" xfId="0" applyNumberFormat="1" applyFill="1"/>
    <xf numFmtId="0" fontId="8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39" xfId="0" applyBorder="1"/>
    <xf numFmtId="0" fontId="8" fillId="0" borderId="39" xfId="0" applyFont="1" applyBorder="1" applyAlignment="1">
      <alignment horizontal="center"/>
    </xf>
    <xf numFmtId="9" fontId="0" fillId="0" borderId="39" xfId="0" applyNumberFormat="1" applyBorder="1" applyAlignment="1">
      <alignment horizontal="center"/>
    </xf>
    <xf numFmtId="10" fontId="6" fillId="6" borderId="0" xfId="1" applyNumberFormat="1"/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0" fillId="2" borderId="5" xfId="0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/>
    </xf>
    <xf numFmtId="0" fontId="10" fillId="2" borderId="7" xfId="0" applyFont="1" applyFill="1" applyBorder="1" applyAlignment="1">
      <alignment horizontal="center"/>
    </xf>
    <xf numFmtId="0" fontId="8" fillId="5" borderId="24" xfId="0" applyFont="1" applyFill="1" applyBorder="1" applyAlignment="1">
      <alignment horizontal="left" indent="2"/>
    </xf>
    <xf numFmtId="0" fontId="8" fillId="5" borderId="4" xfId="0" applyFont="1" applyFill="1" applyBorder="1" applyAlignment="1">
      <alignment horizontal="left" indent="2"/>
    </xf>
    <xf numFmtId="0" fontId="8" fillId="5" borderId="26" xfId="0" applyFont="1" applyFill="1" applyBorder="1" applyAlignment="1">
      <alignment horizontal="left" indent="2"/>
    </xf>
    <xf numFmtId="0" fontId="8" fillId="5" borderId="19" xfId="0" applyFont="1" applyFill="1" applyBorder="1" applyAlignment="1">
      <alignment horizontal="left" indent="2"/>
    </xf>
    <xf numFmtId="0" fontId="8" fillId="5" borderId="28" xfId="0" applyFont="1" applyFill="1" applyBorder="1" applyAlignment="1">
      <alignment horizontal="left" indent="2"/>
    </xf>
    <xf numFmtId="0" fontId="8" fillId="5" borderId="29" xfId="0" applyFont="1" applyFill="1" applyBorder="1" applyAlignment="1">
      <alignment horizontal="left" indent="2"/>
    </xf>
    <xf numFmtId="0" fontId="7" fillId="4" borderId="21" xfId="0" applyFont="1" applyFill="1" applyBorder="1" applyAlignment="1">
      <alignment horizontal="center"/>
    </xf>
    <xf numFmtId="0" fontId="7" fillId="4" borderId="22" xfId="0" applyFont="1" applyFill="1" applyBorder="1" applyAlignment="1">
      <alignment horizontal="center"/>
    </xf>
    <xf numFmtId="0" fontId="7" fillId="4" borderId="23" xfId="0" applyFont="1" applyFill="1" applyBorder="1" applyAlignment="1">
      <alignment horizontal="center"/>
    </xf>
    <xf numFmtId="0" fontId="8" fillId="0" borderId="8" xfId="0" applyFont="1" applyBorder="1" applyAlignment="1">
      <alignment horizontal="left" indent="2"/>
    </xf>
    <xf numFmtId="0" fontId="8" fillId="0" borderId="3" xfId="0" applyFont="1" applyBorder="1" applyAlignment="1">
      <alignment horizontal="left" indent="2"/>
    </xf>
    <xf numFmtId="0" fontId="8" fillId="0" borderId="33" xfId="0" applyFont="1" applyBorder="1" applyAlignment="1">
      <alignment horizontal="left" indent="2"/>
    </xf>
    <xf numFmtId="0" fontId="8" fillId="0" borderId="20" xfId="0" applyFont="1" applyBorder="1" applyAlignment="1">
      <alignment horizontal="left" indent="2"/>
    </xf>
    <xf numFmtId="0" fontId="8" fillId="0" borderId="35" xfId="0" applyFont="1" applyBorder="1" applyAlignment="1">
      <alignment horizontal="left" indent="2"/>
    </xf>
    <xf numFmtId="0" fontId="8" fillId="0" borderId="19" xfId="0" applyFont="1" applyBorder="1" applyAlignment="1">
      <alignment horizontal="left" indent="2"/>
    </xf>
    <xf numFmtId="0" fontId="11" fillId="3" borderId="37" xfId="0" applyFont="1" applyFill="1" applyBorder="1" applyAlignment="1">
      <alignment horizontal="left" indent="2"/>
    </xf>
    <xf numFmtId="0" fontId="11" fillId="3" borderId="31" xfId="0" applyFont="1" applyFill="1" applyBorder="1" applyAlignment="1">
      <alignment horizontal="left" indent="2"/>
    </xf>
    <xf numFmtId="0" fontId="11" fillId="3" borderId="9" xfId="0" applyFont="1" applyFill="1" applyBorder="1" applyAlignment="1">
      <alignment horizontal="left" indent="2"/>
    </xf>
    <xf numFmtId="0" fontId="11" fillId="3" borderId="39" xfId="0" applyFont="1" applyFill="1" applyBorder="1" applyAlignment="1">
      <alignment horizontal="left" indent="2"/>
    </xf>
    <xf numFmtId="0" fontId="12" fillId="7" borderId="0" xfId="0" applyFont="1" applyFill="1" applyAlignment="1">
      <alignment horizontal="center"/>
    </xf>
    <xf numFmtId="0" fontId="7" fillId="7" borderId="0" xfId="0" applyFont="1" applyFill="1"/>
    <xf numFmtId="9" fontId="0" fillId="0" borderId="41" xfId="0" applyNumberFormat="1" applyBorder="1" applyAlignment="1">
      <alignment horizontal="center"/>
    </xf>
    <xf numFmtId="0" fontId="8" fillId="0" borderId="42" xfId="0" applyFont="1" applyBorder="1" applyAlignment="1">
      <alignment horizontal="center"/>
    </xf>
    <xf numFmtId="164" fontId="0" fillId="3" borderId="43" xfId="0" applyNumberFormat="1" applyFill="1" applyBorder="1"/>
    <xf numFmtId="0" fontId="12" fillId="7" borderId="21" xfId="0" applyFont="1" applyFill="1" applyBorder="1" applyAlignment="1">
      <alignment horizontal="center"/>
    </xf>
    <xf numFmtId="0" fontId="12" fillId="7" borderId="22" xfId="0" applyFont="1" applyFill="1" applyBorder="1" applyAlignment="1">
      <alignment horizontal="center"/>
    </xf>
    <xf numFmtId="0" fontId="12" fillId="7" borderId="23" xfId="0" applyFont="1" applyFill="1" applyBorder="1" applyAlignment="1">
      <alignment horizontal="center"/>
    </xf>
    <xf numFmtId="0" fontId="13" fillId="7" borderId="28" xfId="0" applyFont="1" applyFill="1" applyBorder="1" applyAlignment="1">
      <alignment horizontal="center"/>
    </xf>
    <xf numFmtId="0" fontId="3" fillId="7" borderId="44" xfId="0" applyFont="1" applyFill="1" applyBorder="1"/>
    <xf numFmtId="164" fontId="14" fillId="7" borderId="45" xfId="0" applyNumberFormat="1" applyFont="1" applyFill="1" applyBorder="1"/>
  </cellXfs>
  <cellStyles count="2">
    <cellStyle name="Neutro" xfId="1" builtinId="2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APP!$C$40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26D-4657-98F4-8D9C3495C5B5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26D-4657-98F4-8D9C3495C5B5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26D-4657-98F4-8D9C3495C5B5}"/>
              </c:ext>
            </c:extLst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26D-4657-98F4-8D9C3495C5B5}"/>
              </c:ext>
            </c:extLst>
          </c:dPt>
          <c:dPt>
            <c:idx val="4"/>
            <c:bubble3D val="0"/>
            <c:spPr>
              <a:solidFill>
                <a:srgbClr val="13A10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26D-4657-98F4-8D9C3495C5B5}"/>
              </c:ext>
            </c:extLst>
          </c:dPt>
          <c:dPt>
            <c:idx val="5"/>
            <c:bubble3D val="0"/>
            <c:spPr>
              <a:solidFill>
                <a:srgbClr val="3A96D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26D-4657-98F4-8D9C3495C5B5}"/>
              </c:ext>
            </c:extLst>
          </c:dPt>
          <c:cat>
            <c:strRef>
              <c:f>APP!$B$41:$B$46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</c:v>
                </c:pt>
              </c:strCache>
            </c:strRef>
          </c:cat>
          <c:val>
            <c:numRef>
              <c:f>APP!$C$41:$C$46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2D-4072-ABE1-A925BDE593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APP!$C$40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995-4927-B2C0-88FB5E249F61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995-4927-B2C0-88FB5E249F61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995-4927-B2C0-88FB5E249F61}"/>
              </c:ext>
            </c:extLst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995-4927-B2C0-88FB5E249F61}"/>
              </c:ext>
            </c:extLst>
          </c:dPt>
          <c:dPt>
            <c:idx val="4"/>
            <c:bubble3D val="0"/>
            <c:spPr>
              <a:solidFill>
                <a:srgbClr val="13A10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995-4927-B2C0-88FB5E249F61}"/>
              </c:ext>
            </c:extLst>
          </c:dPt>
          <c:dPt>
            <c:idx val="5"/>
            <c:bubble3D val="0"/>
            <c:spPr>
              <a:solidFill>
                <a:srgbClr val="3A96D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995-4927-B2C0-88FB5E249F61}"/>
              </c:ext>
            </c:extLst>
          </c:dPt>
          <c:cat>
            <c:strRef>
              <c:f>APP!$B$41:$B$46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</c:v>
                </c:pt>
              </c:strCache>
            </c:strRef>
          </c:cat>
          <c:val>
            <c:numRef>
              <c:f>APP!$C$41:$C$46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52-4EB3-B59A-89DF41708B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APP!$C$40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22D-4699-90ED-D860F0BB2EBA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22D-4699-90ED-D860F0BB2EBA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22D-4699-90ED-D860F0BB2EBA}"/>
              </c:ext>
            </c:extLst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22D-4699-90ED-D860F0BB2EBA}"/>
              </c:ext>
            </c:extLst>
          </c:dPt>
          <c:dPt>
            <c:idx val="4"/>
            <c:bubble3D val="0"/>
            <c:spPr>
              <a:solidFill>
                <a:srgbClr val="13A10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22D-4699-90ED-D860F0BB2EBA}"/>
              </c:ext>
            </c:extLst>
          </c:dPt>
          <c:dPt>
            <c:idx val="5"/>
            <c:bubble3D val="0"/>
            <c:spPr>
              <a:solidFill>
                <a:srgbClr val="3A96D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22D-4699-90ED-D860F0BB2EBA}"/>
              </c:ext>
            </c:extLst>
          </c:dPt>
          <c:cat>
            <c:strRef>
              <c:f>APP!$B$41:$B$46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</c:v>
                </c:pt>
              </c:strCache>
            </c:strRef>
          </c:cat>
          <c:val>
            <c:numRef>
              <c:f>APP!$C$41:$C$46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7B-46D3-9AAA-3C1724EE3F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2BF-4005-B77D-899EB6DC2CE6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2BF-4005-B77D-899EB6DC2CE6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2BF-4005-B77D-899EB6DC2CE6}"/>
              </c:ext>
            </c:extLst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2BF-4005-B77D-899EB6DC2CE6}"/>
              </c:ext>
            </c:extLst>
          </c:dPt>
          <c:dPt>
            <c:idx val="4"/>
            <c:bubble3D val="0"/>
            <c:spPr>
              <a:solidFill>
                <a:srgbClr val="13A10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2BF-4005-B77D-899EB6DC2CE6}"/>
              </c:ext>
            </c:extLst>
          </c:dPt>
          <c:dPt>
            <c:idx val="5"/>
            <c:bubble3D val="0"/>
            <c:spPr>
              <a:solidFill>
                <a:srgbClr val="3A96D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2BF-4005-B77D-899EB6DC2CE6}"/>
              </c:ext>
            </c:extLst>
          </c:dPt>
          <c:cat>
            <c:strRef>
              <c:f>APP!$B$41:$B$46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</c:v>
                </c:pt>
              </c:strCache>
            </c:strRef>
          </c:cat>
          <c:val>
            <c:numRef>
              <c:f>APP!$C$41:$C$46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B5-4EED-A227-E23110275A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BEA-4A10-B2CE-5F216A776B3C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BEA-4A10-B2CE-5F216A776B3C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BEA-4A10-B2CE-5F216A776B3C}"/>
              </c:ext>
            </c:extLst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BEA-4A10-B2CE-5F216A776B3C}"/>
              </c:ext>
            </c:extLst>
          </c:dPt>
          <c:dPt>
            <c:idx val="4"/>
            <c:bubble3D val="0"/>
            <c:spPr>
              <a:solidFill>
                <a:srgbClr val="13A10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BEA-4A10-B2CE-5F216A776B3C}"/>
              </c:ext>
            </c:extLst>
          </c:dPt>
          <c:dPt>
            <c:idx val="5"/>
            <c:bubble3D val="0"/>
            <c:spPr>
              <a:solidFill>
                <a:srgbClr val="3A96D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BEA-4A10-B2CE-5F216A776B3C}"/>
              </c:ext>
            </c:extLst>
          </c:dPt>
          <c:cat>
            <c:strRef>
              <c:f>APP!$B$41:$B$46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</c:v>
                </c:pt>
              </c:strCache>
            </c:strRef>
          </c:cat>
          <c:val>
            <c:numRef>
              <c:f>APP!$C$41:$C$46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25-4316-849B-05AB11A8A6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963-4355-B1C0-2CF5289D1C85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963-4355-B1C0-2CF5289D1C85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963-4355-B1C0-2CF5289D1C85}"/>
              </c:ext>
            </c:extLst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963-4355-B1C0-2CF5289D1C85}"/>
              </c:ext>
            </c:extLst>
          </c:dPt>
          <c:dPt>
            <c:idx val="4"/>
            <c:bubble3D val="0"/>
            <c:spPr>
              <a:solidFill>
                <a:srgbClr val="13A10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963-4355-B1C0-2CF5289D1C85}"/>
              </c:ext>
            </c:extLst>
          </c:dPt>
          <c:dPt>
            <c:idx val="5"/>
            <c:bubble3D val="0"/>
            <c:spPr>
              <a:solidFill>
                <a:srgbClr val="3A96D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963-4355-B1C0-2CF5289D1C85}"/>
              </c:ext>
            </c:extLst>
          </c:dPt>
          <c:cat>
            <c:strRef>
              <c:f>APP!$B$41:$B$46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</c:v>
                </c:pt>
              </c:strCache>
            </c:strRef>
          </c:cat>
          <c:val>
            <c:numRef>
              <c:f>APP!$C$41:$C$46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72-4CDD-9142-43A476894A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470-4611-B8ED-89BB318D58B6}"/>
              </c:ext>
            </c:extLst>
          </c:dPt>
          <c:val>
            <c:numRef>
              <c:f>APP!$B$52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88B1-4BEA-9E55-C978678E96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67C-42CD-9114-95A3ECF429C4}"/>
              </c:ext>
            </c:extLst>
          </c:dPt>
          <c:val>
            <c:numRef>
              <c:f>APP!$B$52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54F7-4087-AE30-47258BCF5C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4D0-41C9-A87F-BCABCB49B526}"/>
              </c:ext>
            </c:extLst>
          </c:dPt>
          <c:val>
            <c:numRef>
              <c:f>APP!$B$52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7664-4548-9EBE-80A0A2D712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637CEF"/>
            </a:solidFill>
            <a:ln>
              <a:noFill/>
            </a:ln>
            <a:effectLst/>
          </c:spPr>
          <c:invertIfNegative val="0"/>
          <c:val>
            <c:numRef>
              <c:f>APP!$B$41:$B$47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6F-4837-880F-317260F25C21}"/>
            </c:ext>
          </c:extLst>
        </c:ser>
        <c:ser>
          <c:idx val="1"/>
          <c:order val="1"/>
          <c:spPr>
            <a:solidFill>
              <a:srgbClr val="E3008C"/>
            </a:solidFill>
            <a:ln>
              <a:noFill/>
            </a:ln>
            <a:effectLst/>
          </c:spPr>
          <c:invertIfNegative val="0"/>
          <c:val>
            <c:numRef>
              <c:f>APP!$C$41:$C$47</c:f>
              <c:numCache>
                <c:formatCode>0%</c:formatCode>
                <c:ptCount val="7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6F-4837-880F-317260F25C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0340872"/>
        <c:axId val="1330342920"/>
      </c:barChart>
      <c:catAx>
        <c:axId val="13303408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0342920"/>
        <c:crosses val="autoZero"/>
        <c:auto val="1"/>
        <c:lblAlgn val="ctr"/>
        <c:lblOffset val="100"/>
        <c:noMultiLvlLbl val="0"/>
      </c:catAx>
      <c:valAx>
        <c:axId val="1330342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0340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637CEF"/>
            </a:solidFill>
            <a:ln>
              <a:noFill/>
            </a:ln>
            <a:effectLst/>
          </c:spPr>
          <c:invertIfNegative val="0"/>
          <c:val>
            <c:numRef>
              <c:f>APP!$B$41:$B$47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20-44CB-84C4-C85A5F22BA4D}"/>
            </c:ext>
          </c:extLst>
        </c:ser>
        <c:ser>
          <c:idx val="1"/>
          <c:order val="1"/>
          <c:spPr>
            <a:solidFill>
              <a:srgbClr val="E3008C"/>
            </a:solidFill>
            <a:ln>
              <a:noFill/>
            </a:ln>
            <a:effectLst/>
          </c:spPr>
          <c:invertIfNegative val="0"/>
          <c:val>
            <c:numRef>
              <c:f>APP!$C$41:$C$47</c:f>
              <c:numCache>
                <c:formatCode>0%</c:formatCode>
                <c:ptCount val="7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020-44CB-84C4-C85A5F22B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0370056"/>
        <c:axId val="1330372616"/>
      </c:barChart>
      <c:catAx>
        <c:axId val="13303700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0372616"/>
        <c:crosses val="autoZero"/>
        <c:auto val="1"/>
        <c:lblAlgn val="ctr"/>
        <c:lblOffset val="100"/>
        <c:noMultiLvlLbl val="0"/>
      </c:catAx>
      <c:valAx>
        <c:axId val="1330372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0370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387-4FDA-8F48-E02364FA92B7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387-4FDA-8F48-E02364FA92B7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387-4FDA-8F48-E02364FA92B7}"/>
              </c:ext>
            </c:extLst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387-4FDA-8F48-E02364FA92B7}"/>
              </c:ext>
            </c:extLst>
          </c:dPt>
          <c:dPt>
            <c:idx val="4"/>
            <c:bubble3D val="0"/>
            <c:spPr>
              <a:solidFill>
                <a:srgbClr val="13A10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387-4FDA-8F48-E02364FA92B7}"/>
              </c:ext>
            </c:extLst>
          </c:dPt>
          <c:dPt>
            <c:idx val="5"/>
            <c:bubble3D val="0"/>
            <c:spPr>
              <a:solidFill>
                <a:srgbClr val="3A96D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387-4FDA-8F48-E02364FA92B7}"/>
              </c:ext>
            </c:extLst>
          </c:dPt>
          <c:dPt>
            <c:idx val="6"/>
            <c:bubble3D val="0"/>
            <c:spPr>
              <a:solidFill>
                <a:srgbClr val="CA501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387-4FDA-8F48-E02364FA92B7}"/>
              </c:ext>
            </c:extLst>
          </c:dPt>
          <c:val>
            <c:numRef>
              <c:f>APP!$B$41:$B$47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F6-4AB3-9A50-D504D6F4D28C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C387-4FDA-8F48-E02364FA92B7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C387-4FDA-8F48-E02364FA92B7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C387-4FDA-8F48-E02364FA92B7}"/>
              </c:ext>
            </c:extLst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C387-4FDA-8F48-E02364FA92B7}"/>
              </c:ext>
            </c:extLst>
          </c:dPt>
          <c:dPt>
            <c:idx val="4"/>
            <c:bubble3D val="0"/>
            <c:spPr>
              <a:solidFill>
                <a:srgbClr val="13A10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C387-4FDA-8F48-E02364FA92B7}"/>
              </c:ext>
            </c:extLst>
          </c:dPt>
          <c:dPt>
            <c:idx val="5"/>
            <c:bubble3D val="0"/>
            <c:spPr>
              <a:solidFill>
                <a:srgbClr val="3A96D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C387-4FDA-8F48-E02364FA92B7}"/>
              </c:ext>
            </c:extLst>
          </c:dPt>
          <c:dPt>
            <c:idx val="6"/>
            <c:bubble3D val="0"/>
            <c:spPr>
              <a:solidFill>
                <a:srgbClr val="CA501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C387-4FDA-8F48-E02364FA92B7}"/>
              </c:ext>
            </c:extLst>
          </c:dPt>
          <c:val>
            <c:numRef>
              <c:f>APP!$C$41:$C$47</c:f>
              <c:numCache>
                <c:formatCode>0%</c:formatCode>
                <c:ptCount val="7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7F6-4AB3-9A50-D504D6F4D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rgbClr val="13A10E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rgbClr val="3A96DD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APP!$B$41:$B$46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</c:v>
                </c:pt>
              </c:strCache>
            </c:strRef>
          </c:cat>
          <c:val>
            <c:numRef>
              <c:f>APP!$C$41:$C$46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30-44F2-8E2E-7FC5040CD9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rgbClr val="13A10E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rgbClr val="3A96DD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APP!$B$41:$B$46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</c:v>
                </c:pt>
              </c:strCache>
            </c:strRef>
          </c:cat>
          <c:val>
            <c:numRef>
              <c:f>APP!$C$41:$C$46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34-434D-9B1D-F50C99DCC6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rgbClr val="13A10E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rgbClr val="3A96DD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APP!$B$41:$B$46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</c:v>
                </c:pt>
              </c:strCache>
            </c:strRef>
          </c:cat>
          <c:val>
            <c:numRef>
              <c:f>APP!$C$41:$C$46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3C-4DE8-A2EB-98FEABF65F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rgbClr val="13A10E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rgbClr val="3A96DD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APP!$B$41:$B$46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</c:v>
                </c:pt>
              </c:strCache>
            </c:strRef>
          </c:cat>
          <c:val>
            <c:numRef>
              <c:f>APP!$C$41:$C$46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05-4769-9F72-32B6D249FD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5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6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7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8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9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0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5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6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13" Type="http://schemas.openxmlformats.org/officeDocument/2006/relationships/chart" Target="../charts/chart12.xml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12" Type="http://schemas.openxmlformats.org/officeDocument/2006/relationships/chart" Target="../charts/chart11.xml"/><Relationship Id="rId17" Type="http://schemas.openxmlformats.org/officeDocument/2006/relationships/chart" Target="../charts/chart16.xml"/><Relationship Id="rId2" Type="http://schemas.openxmlformats.org/officeDocument/2006/relationships/chart" Target="../charts/chart1.xml"/><Relationship Id="rId16" Type="http://schemas.openxmlformats.org/officeDocument/2006/relationships/chart" Target="../charts/chart15.xml"/><Relationship Id="rId1" Type="http://schemas.openxmlformats.org/officeDocument/2006/relationships/image" Target="../media/image1.jpeg"/><Relationship Id="rId6" Type="http://schemas.openxmlformats.org/officeDocument/2006/relationships/chart" Target="../charts/chart5.xml"/><Relationship Id="rId11" Type="http://schemas.openxmlformats.org/officeDocument/2006/relationships/chart" Target="../charts/chart10.xml"/><Relationship Id="rId5" Type="http://schemas.openxmlformats.org/officeDocument/2006/relationships/chart" Target="../charts/chart4.xml"/><Relationship Id="rId15" Type="http://schemas.openxmlformats.org/officeDocument/2006/relationships/chart" Target="../charts/chart14.xml"/><Relationship Id="rId10" Type="http://schemas.openxmlformats.org/officeDocument/2006/relationships/chart" Target="../charts/chart9.xml"/><Relationship Id="rId4" Type="http://schemas.openxmlformats.org/officeDocument/2006/relationships/chart" Target="../charts/chart3.xml"/><Relationship Id="rId9" Type="http://schemas.openxmlformats.org/officeDocument/2006/relationships/chart" Target="../charts/chart8.xml"/><Relationship Id="rId14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485775</xdr:colOff>
      <xdr:row>0</xdr:row>
      <xdr:rowOff>0</xdr:rowOff>
    </xdr:from>
    <xdr:to>
      <xdr:col>4</xdr:col>
      <xdr:colOff>66675</xdr:colOff>
      <xdr:row>8</xdr:row>
      <xdr:rowOff>114300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992C015F-CB9D-5A87-DB00-E92BBA90A1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3202" t="14222" r="7805" b="27556"/>
        <a:stretch>
          <a:fillRect/>
        </a:stretch>
      </xdr:blipFill>
      <xdr:spPr>
        <a:xfrm>
          <a:off x="485775" y="0"/>
          <a:ext cx="5667375" cy="1638300"/>
        </a:xfrm>
        <a:prstGeom prst="rect">
          <a:avLst/>
        </a:prstGeom>
      </xdr:spPr>
    </xdr:pic>
    <xdr:clientData/>
  </xdr:twoCellAnchor>
  <xdr:twoCellAnchor>
    <xdr:from>
      <xdr:col>16384</xdr:col>
      <xdr:colOff>2409825</xdr:colOff>
      <xdr:row>17</xdr:row>
      <xdr:rowOff>247650</xdr:rowOff>
    </xdr:from>
    <xdr:to>
      <xdr:col>16384</xdr:col>
      <xdr:colOff>6981825</xdr:colOff>
      <xdr:row>30</xdr:row>
      <xdr:rowOff>142875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CC19A08-8A6E-0A89-8058-08267FA9C7F1}"/>
            </a:ext>
            <a:ext uri="{147F2762-F138-4A5C-976F-8EAC2B608ADB}">
              <a16:predDERef xmlns:a16="http://schemas.microsoft.com/office/drawing/2014/main" pred="{992C015F-CB9D-5A87-DB00-E92BBA90A1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16384</xdr:col>
      <xdr:colOff>2409825</xdr:colOff>
      <xdr:row>17</xdr:row>
      <xdr:rowOff>247650</xdr:rowOff>
    </xdr:from>
    <xdr:to>
      <xdr:col>16384</xdr:col>
      <xdr:colOff>6981825</xdr:colOff>
      <xdr:row>30</xdr:row>
      <xdr:rowOff>142875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981F629-51D3-A8F7-B5DF-2B8DD14778B4}"/>
            </a:ext>
            <a:ext uri="{147F2762-F138-4A5C-976F-8EAC2B608ADB}">
              <a16:predDERef xmlns:a16="http://schemas.microsoft.com/office/drawing/2014/main" pred="{5CC19A08-8A6E-0A89-8058-08267FA9C7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16384</xdr:col>
      <xdr:colOff>2409825</xdr:colOff>
      <xdr:row>28</xdr:row>
      <xdr:rowOff>114300</xdr:rowOff>
    </xdr:from>
    <xdr:to>
      <xdr:col>16384</xdr:col>
      <xdr:colOff>6981825</xdr:colOff>
      <xdr:row>42</xdr:row>
      <xdr:rowOff>76200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1F2B696-A229-2C5A-82BB-256B076AD825}"/>
            </a:ext>
            <a:ext uri="{147F2762-F138-4A5C-976F-8EAC2B608ADB}">
              <a16:predDERef xmlns:a16="http://schemas.microsoft.com/office/drawing/2014/main" pred="{7981F629-51D3-A8F7-B5DF-2B8DD14778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16384</xdr:col>
      <xdr:colOff>2409825</xdr:colOff>
      <xdr:row>28</xdr:row>
      <xdr:rowOff>114300</xdr:rowOff>
    </xdr:from>
    <xdr:to>
      <xdr:col>16384</xdr:col>
      <xdr:colOff>6981825</xdr:colOff>
      <xdr:row>42</xdr:row>
      <xdr:rowOff>76200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12FE7484-3D00-3502-0F5D-27553EC96F3A}"/>
            </a:ext>
            <a:ext uri="{147F2762-F138-4A5C-976F-8EAC2B608ADB}">
              <a16:predDERef xmlns:a16="http://schemas.microsoft.com/office/drawing/2014/main" pred="{71F2B696-A229-2C5A-82BB-256B076AD8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16384</xdr:col>
      <xdr:colOff>2409825</xdr:colOff>
      <xdr:row>28</xdr:row>
      <xdr:rowOff>114300</xdr:rowOff>
    </xdr:from>
    <xdr:to>
      <xdr:col>16384</xdr:col>
      <xdr:colOff>6981825</xdr:colOff>
      <xdr:row>42</xdr:row>
      <xdr:rowOff>76200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64ED0761-2C81-8917-DD1A-00890B8043C3}"/>
            </a:ext>
            <a:ext uri="{147F2762-F138-4A5C-976F-8EAC2B608ADB}">
              <a16:predDERef xmlns:a16="http://schemas.microsoft.com/office/drawing/2014/main" pred="{12FE7484-3D00-3502-0F5D-27553EC96F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16384</xdr:col>
      <xdr:colOff>2409825</xdr:colOff>
      <xdr:row>28</xdr:row>
      <xdr:rowOff>114300</xdr:rowOff>
    </xdr:from>
    <xdr:to>
      <xdr:col>16384</xdr:col>
      <xdr:colOff>6981825</xdr:colOff>
      <xdr:row>42</xdr:row>
      <xdr:rowOff>76200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5233B0C2-7371-65C4-B28D-E077F8DA075C}"/>
            </a:ext>
            <a:ext uri="{147F2762-F138-4A5C-976F-8EAC2B608ADB}">
              <a16:predDERef xmlns:a16="http://schemas.microsoft.com/office/drawing/2014/main" pred="{64ED0761-2C81-8917-DD1A-00890B8043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16384</xdr:col>
      <xdr:colOff>2409825</xdr:colOff>
      <xdr:row>28</xdr:row>
      <xdr:rowOff>114300</xdr:rowOff>
    </xdr:from>
    <xdr:to>
      <xdr:col>16384</xdr:col>
      <xdr:colOff>6981825</xdr:colOff>
      <xdr:row>42</xdr:row>
      <xdr:rowOff>76200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7E3E6B63-237C-07FD-09B6-AF94081C1F22}"/>
            </a:ext>
            <a:ext uri="{147F2762-F138-4A5C-976F-8EAC2B608ADB}">
              <a16:predDERef xmlns:a16="http://schemas.microsoft.com/office/drawing/2014/main" pred="{5233B0C2-7371-65C4-B28D-E077F8DA07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16384</xdr:col>
      <xdr:colOff>2409825</xdr:colOff>
      <xdr:row>28</xdr:row>
      <xdr:rowOff>114300</xdr:rowOff>
    </xdr:from>
    <xdr:to>
      <xdr:col>16384</xdr:col>
      <xdr:colOff>6981825</xdr:colOff>
      <xdr:row>42</xdr:row>
      <xdr:rowOff>76200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30F920C6-D987-CB27-E643-A48C226B8805}"/>
            </a:ext>
            <a:ext uri="{147F2762-F138-4A5C-976F-8EAC2B608ADB}">
              <a16:predDERef xmlns:a16="http://schemas.microsoft.com/office/drawing/2014/main" pred="{7E3E6B63-237C-07FD-09B6-AF94081C1F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16384</xdr:col>
      <xdr:colOff>2409825</xdr:colOff>
      <xdr:row>28</xdr:row>
      <xdr:rowOff>114300</xdr:rowOff>
    </xdr:from>
    <xdr:to>
      <xdr:col>16384</xdr:col>
      <xdr:colOff>6981825</xdr:colOff>
      <xdr:row>42</xdr:row>
      <xdr:rowOff>76200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1D57A06D-0ECF-AA61-AD6D-766A80DC1377}"/>
            </a:ext>
            <a:ext uri="{147F2762-F138-4A5C-976F-8EAC2B608ADB}">
              <a16:predDERef xmlns:a16="http://schemas.microsoft.com/office/drawing/2014/main" pred="{30F920C6-D987-CB27-E643-A48C226B88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16384</xdr:col>
      <xdr:colOff>2409825</xdr:colOff>
      <xdr:row>26</xdr:row>
      <xdr:rowOff>152400</xdr:rowOff>
    </xdr:from>
    <xdr:to>
      <xdr:col>16384</xdr:col>
      <xdr:colOff>6981825</xdr:colOff>
      <xdr:row>40</xdr:row>
      <xdr:rowOff>152400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65C7287E-A181-273C-3ACB-0453BA28CABA}"/>
            </a:ext>
            <a:ext uri="{147F2762-F138-4A5C-976F-8EAC2B608ADB}">
              <a16:predDERef xmlns:a16="http://schemas.microsoft.com/office/drawing/2014/main" pred="{1D57A06D-0ECF-AA61-AD6D-766A80DC13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16384</xdr:col>
      <xdr:colOff>2409825</xdr:colOff>
      <xdr:row>26</xdr:row>
      <xdr:rowOff>152400</xdr:rowOff>
    </xdr:from>
    <xdr:to>
      <xdr:col>16384</xdr:col>
      <xdr:colOff>6981825</xdr:colOff>
      <xdr:row>40</xdr:row>
      <xdr:rowOff>152400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2CDF3210-6BB8-A631-3014-0CF9CEF5FC5B}"/>
            </a:ext>
            <a:ext uri="{147F2762-F138-4A5C-976F-8EAC2B608ADB}">
              <a16:predDERef xmlns:a16="http://schemas.microsoft.com/office/drawing/2014/main" pred="{65C7287E-A181-273C-3ACB-0453BA28CA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16384</xdr:col>
      <xdr:colOff>2409825</xdr:colOff>
      <xdr:row>26</xdr:row>
      <xdr:rowOff>152400</xdr:rowOff>
    </xdr:from>
    <xdr:to>
      <xdr:col>16384</xdr:col>
      <xdr:colOff>6981825</xdr:colOff>
      <xdr:row>40</xdr:row>
      <xdr:rowOff>152400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E032976E-97CD-9BDC-2539-10F6C8D36B3A}"/>
            </a:ext>
            <a:ext uri="{147F2762-F138-4A5C-976F-8EAC2B608ADB}">
              <a16:predDERef xmlns:a16="http://schemas.microsoft.com/office/drawing/2014/main" pred="{2CDF3210-6BB8-A631-3014-0CF9CEF5FC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16384</xdr:col>
      <xdr:colOff>4829175</xdr:colOff>
      <xdr:row>31</xdr:row>
      <xdr:rowOff>161925</xdr:rowOff>
    </xdr:from>
    <xdr:to>
      <xdr:col>16384</xdr:col>
      <xdr:colOff>9401175</xdr:colOff>
      <xdr:row>45</xdr:row>
      <xdr:rowOff>66675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891F2D8B-0FAF-0D13-B347-2F8E79335F48}"/>
            </a:ext>
            <a:ext uri="{147F2762-F138-4A5C-976F-8EAC2B608ADB}">
              <a16:predDERef xmlns:a16="http://schemas.microsoft.com/office/drawing/2014/main" pred="{E032976E-97CD-9BDC-2539-10F6C8D36B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16384</xdr:col>
      <xdr:colOff>4829175</xdr:colOff>
      <xdr:row>31</xdr:row>
      <xdr:rowOff>161925</xdr:rowOff>
    </xdr:from>
    <xdr:to>
      <xdr:col>16384</xdr:col>
      <xdr:colOff>9401175</xdr:colOff>
      <xdr:row>45</xdr:row>
      <xdr:rowOff>66675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C865E80C-E673-7D47-48C4-2F56B8786FDC}"/>
            </a:ext>
            <a:ext uri="{147F2762-F138-4A5C-976F-8EAC2B608ADB}">
              <a16:predDERef xmlns:a16="http://schemas.microsoft.com/office/drawing/2014/main" pred="{891F2D8B-0FAF-0D13-B347-2F8E79335F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16384</xdr:col>
      <xdr:colOff>4829175</xdr:colOff>
      <xdr:row>31</xdr:row>
      <xdr:rowOff>161925</xdr:rowOff>
    </xdr:from>
    <xdr:to>
      <xdr:col>16384</xdr:col>
      <xdr:colOff>9401175</xdr:colOff>
      <xdr:row>45</xdr:row>
      <xdr:rowOff>66675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E0CB0C75-0EB9-755D-4DA4-7DA5A4FD8677}"/>
            </a:ext>
            <a:ext uri="{147F2762-F138-4A5C-976F-8EAC2B608ADB}">
              <a16:predDERef xmlns:a16="http://schemas.microsoft.com/office/drawing/2014/main" pred="{C865E80C-E673-7D47-48C4-2F56B8786F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16384</xdr:col>
      <xdr:colOff>4829175</xdr:colOff>
      <xdr:row>31</xdr:row>
      <xdr:rowOff>161925</xdr:rowOff>
    </xdr:from>
    <xdr:to>
      <xdr:col>16384</xdr:col>
      <xdr:colOff>9401175</xdr:colOff>
      <xdr:row>45</xdr:row>
      <xdr:rowOff>66675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C74167C2-5762-6608-3660-66481138604D}"/>
            </a:ext>
            <a:ext uri="{147F2762-F138-4A5C-976F-8EAC2B608ADB}">
              <a16:predDERef xmlns:a16="http://schemas.microsoft.com/office/drawing/2014/main" pred="{E0CB0C75-0EB9-755D-4DA4-7DA5A4FD86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0:K47"/>
  <sheetViews>
    <sheetView showGridLines="0" tabSelected="1" workbookViewId="0">
      <selection activeCell="D14" sqref="D14"/>
    </sheetView>
  </sheetViews>
  <sheetFormatPr defaultColWidth="0" defaultRowHeight="15"/>
  <cols>
    <col min="1" max="1" width="9.140625" customWidth="1"/>
    <col min="2" max="2" width="36.28515625" customWidth="1"/>
    <col min="3" max="3" width="27.28515625" customWidth="1"/>
    <col min="4" max="4" width="18.5703125" customWidth="1"/>
    <col min="5" max="5" width="5.85546875" customWidth="1"/>
    <col min="6" max="6" width="3.28515625" customWidth="1"/>
    <col min="7" max="7" width="4.5703125" customWidth="1"/>
    <col min="8" max="8" width="2.7109375" customWidth="1"/>
    <col min="9" max="11" width="9.140625" hidden="1"/>
  </cols>
  <sheetData>
    <row r="10" spans="2:4" ht="5.25" customHeight="1"/>
    <row r="11" spans="2:4" ht="24.75" customHeight="1">
      <c r="B11" s="40" t="s">
        <v>0</v>
      </c>
      <c r="C11" s="41"/>
      <c r="D11" s="42"/>
    </row>
    <row r="12" spans="2:4" ht="23.25" customHeight="1">
      <c r="B12" s="34" t="s">
        <v>1</v>
      </c>
      <c r="C12" s="35"/>
      <c r="D12" s="11">
        <v>2200</v>
      </c>
    </row>
    <row r="13" spans="2:4" ht="17.25" customHeight="1">
      <c r="B13" s="36" t="s">
        <v>2</v>
      </c>
      <c r="C13" s="37"/>
      <c r="D13" s="12">
        <v>6.0000000000000001E-3</v>
      </c>
    </row>
    <row r="14" spans="2:4" ht="15.75" customHeight="1">
      <c r="B14" s="38" t="s">
        <v>3</v>
      </c>
      <c r="C14" s="39"/>
      <c r="D14" s="13">
        <f>30*D12/100</f>
        <v>660</v>
      </c>
    </row>
    <row r="15" spans="2:4" ht="10.5" customHeight="1"/>
    <row r="16" spans="2:4" ht="10.5" customHeight="1"/>
    <row r="17" spans="1:4" ht="10.5" customHeight="1"/>
    <row r="18" spans="1:4" ht="27.75" customHeight="1">
      <c r="B18" s="31" t="s">
        <v>4</v>
      </c>
      <c r="C18" s="32"/>
      <c r="D18" s="33"/>
    </row>
    <row r="19" spans="1:4" ht="17.25">
      <c r="B19" s="43" t="s">
        <v>5</v>
      </c>
      <c r="C19" s="44"/>
      <c r="D19" s="15">
        <v>200</v>
      </c>
    </row>
    <row r="20" spans="1:4" ht="15" customHeight="1">
      <c r="B20" s="45" t="s">
        <v>6</v>
      </c>
      <c r="C20" s="46"/>
      <c r="D20" s="16">
        <v>5</v>
      </c>
    </row>
    <row r="21" spans="1:4" ht="15" customHeight="1">
      <c r="B21" s="47" t="s">
        <v>7</v>
      </c>
      <c r="C21" s="48"/>
      <c r="D21" s="17">
        <v>1.0789999999999999E-2</v>
      </c>
    </row>
    <row r="22" spans="1:4" ht="15" customHeight="1">
      <c r="B22" s="49" t="s">
        <v>8</v>
      </c>
      <c r="C22" s="50"/>
      <c r="D22" s="18">
        <f>FV(D21,D20*12,D19*-1)</f>
        <v>16755.382799697527</v>
      </c>
    </row>
    <row r="23" spans="1:4" ht="15" customHeight="1">
      <c r="B23" s="51" t="s">
        <v>9</v>
      </c>
      <c r="C23" s="52"/>
      <c r="D23" s="19">
        <f>D22*$D$13</f>
        <v>100.53229679818516</v>
      </c>
    </row>
    <row r="26" spans="1:4" ht="26.25">
      <c r="B26" s="29" t="s">
        <v>10</v>
      </c>
      <c r="C26" s="30"/>
      <c r="D26" s="14" t="s">
        <v>11</v>
      </c>
    </row>
    <row r="27" spans="1:4" ht="15.75">
      <c r="A27" s="1">
        <v>2</v>
      </c>
      <c r="B27" s="8" t="s">
        <v>12</v>
      </c>
      <c r="C27" s="2">
        <f>FV($D$21,$A27*12,$D$19*-1)</f>
        <v>5445.5254595290435</v>
      </c>
      <c r="D27" s="5">
        <f>C27*$D$13</f>
        <v>32.673152757174265</v>
      </c>
    </row>
    <row r="28" spans="1:4" ht="15.75">
      <c r="A28" s="1">
        <v>5</v>
      </c>
      <c r="B28" s="9" t="s">
        <v>13</v>
      </c>
      <c r="C28" s="3">
        <f>FV($D$21,$A28*12,$D$19*-1)</f>
        <v>16755.382799697527</v>
      </c>
      <c r="D28" s="5">
        <f>C28*$D$13</f>
        <v>100.53229679818516</v>
      </c>
    </row>
    <row r="29" spans="1:4" ht="15.75">
      <c r="A29" s="1">
        <v>10</v>
      </c>
      <c r="B29" s="9" t="s">
        <v>14</v>
      </c>
      <c r="C29" s="3">
        <f>FV($D$21,$A29*12,$D$19*-1)</f>
        <v>48656.842506034438</v>
      </c>
      <c r="D29" s="5">
        <f>C29*$D$13</f>
        <v>291.94105503620665</v>
      </c>
    </row>
    <row r="30" spans="1:4" ht="15.75">
      <c r="A30" s="1">
        <v>20</v>
      </c>
      <c r="B30" s="9" t="s">
        <v>15</v>
      </c>
      <c r="C30" s="3">
        <f>FV($D$21,$A30*12,$D$19*-1)</f>
        <v>225039.68001941612</v>
      </c>
      <c r="D30" s="5">
        <f>C30*$D$13</f>
        <v>1350.2380801164968</v>
      </c>
    </row>
    <row r="31" spans="1:4" ht="15.75">
      <c r="A31" s="1">
        <v>30</v>
      </c>
      <c r="B31" s="10" t="s">
        <v>16</v>
      </c>
      <c r="C31" s="6">
        <f>FV($D$21,$A31*12,$D$19*-1)</f>
        <v>864433.93100094295</v>
      </c>
      <c r="D31" s="7">
        <f>C31*$D$13</f>
        <v>5186.6035860056581</v>
      </c>
    </row>
    <row r="32" spans="1:4">
      <c r="C32" s="4"/>
      <c r="D32" s="4"/>
    </row>
    <row r="36" spans="2:4">
      <c r="B36" s="20" t="s">
        <v>17</v>
      </c>
      <c r="C36" s="20" t="s">
        <v>18</v>
      </c>
      <c r="D36" s="20"/>
    </row>
    <row r="37" spans="2:4">
      <c r="B37" s="21" t="s">
        <v>19</v>
      </c>
      <c r="C37" s="22">
        <f>D19</f>
        <v>200</v>
      </c>
      <c r="D37" s="21"/>
    </row>
    <row r="40" spans="2:4" ht="17.25">
      <c r="B40" s="58" t="s">
        <v>20</v>
      </c>
      <c r="C40" s="59" t="s">
        <v>21</v>
      </c>
      <c r="D40" s="60" t="s">
        <v>22</v>
      </c>
    </row>
    <row r="41" spans="2:4" ht="17.25">
      <c r="B41" s="56" t="s">
        <v>23</v>
      </c>
      <c r="C41" s="55">
        <f>VLOOKUP($C$36&amp;"-"&amp;B41,Planilha2!$B:$E,4,FALSE)</f>
        <v>0.5</v>
      </c>
      <c r="D41" s="57">
        <f>$C$37*C41</f>
        <v>100</v>
      </c>
    </row>
    <row r="42" spans="2:4" ht="17.25">
      <c r="B42" s="56" t="s">
        <v>24</v>
      </c>
      <c r="C42" s="55">
        <f>VLOOKUP($C$36&amp;"-"&amp;B42,Planilha2!$B:$E,4,FALSE)</f>
        <v>0.1</v>
      </c>
      <c r="D42" s="57">
        <f t="shared" ref="D42:D46" si="0">$C$37*C42</f>
        <v>20</v>
      </c>
    </row>
    <row r="43" spans="2:4" ht="17.25">
      <c r="B43" s="56" t="s">
        <v>25</v>
      </c>
      <c r="C43" s="55">
        <f>VLOOKUP($C$36&amp;"-"&amp;B43,Planilha2!$B:$E,4,FALSE)</f>
        <v>0.05</v>
      </c>
      <c r="D43" s="57">
        <f t="shared" si="0"/>
        <v>10</v>
      </c>
    </row>
    <row r="44" spans="2:4" ht="17.25">
      <c r="B44" s="56" t="s">
        <v>26</v>
      </c>
      <c r="C44" s="55">
        <f>VLOOKUP($C$36&amp;"-"&amp;B44,Planilha2!$B:$E,4,FALSE)</f>
        <v>0.05</v>
      </c>
      <c r="D44" s="57">
        <f t="shared" si="0"/>
        <v>10</v>
      </c>
    </row>
    <row r="45" spans="2:4" ht="17.25">
      <c r="B45" s="56" t="s">
        <v>27</v>
      </c>
      <c r="C45" s="55">
        <f>VLOOKUP($C$36&amp;"-"&amp;B45,Planilha2!$B:$E,4,FALSE)</f>
        <v>0.2</v>
      </c>
      <c r="D45" s="57">
        <f t="shared" si="0"/>
        <v>40</v>
      </c>
    </row>
    <row r="46" spans="2:4" ht="17.25">
      <c r="B46" s="56" t="s">
        <v>28</v>
      </c>
      <c r="C46" s="55">
        <f>VLOOKUP($C$36&amp;"-"&amp;B46,Planilha2!$B:$E,4,FALSE)</f>
        <v>0.1</v>
      </c>
      <c r="D46" s="57">
        <f t="shared" si="0"/>
        <v>20</v>
      </c>
    </row>
    <row r="47" spans="2:4" ht="16.5">
      <c r="B47" s="61" t="s">
        <v>29</v>
      </c>
      <c r="C47" s="62"/>
      <c r="D47" s="63">
        <f>SUM(D41:D46)</f>
        <v>200</v>
      </c>
    </row>
  </sheetData>
  <mergeCells count="11">
    <mergeCell ref="B11:D11"/>
    <mergeCell ref="B19:C19"/>
    <mergeCell ref="B20:C20"/>
    <mergeCell ref="B21:C21"/>
    <mergeCell ref="B22:C22"/>
    <mergeCell ref="B26:C26"/>
    <mergeCell ref="B18:D18"/>
    <mergeCell ref="B12:C12"/>
    <mergeCell ref="B13:C13"/>
    <mergeCell ref="B14:C14"/>
    <mergeCell ref="B23:C23"/>
  </mergeCells>
  <dataValidations count="1">
    <dataValidation type="list" allowBlank="1" showInputMessage="1" showErrorMessage="1" sqref="C36" xr:uid="{5AA31A56-F694-417E-9890-EBC83F5EB1FE}">
      <formula1>"CONSERVADOR, MODERADO, AGRESSIVO"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DBB2E-1A61-4839-A883-38F6B7970768}">
  <dimension ref="B4:H22"/>
  <sheetViews>
    <sheetView workbookViewId="0">
      <selection activeCell="B34" sqref="B34"/>
    </sheetView>
  </sheetViews>
  <sheetFormatPr defaultRowHeight="15"/>
  <cols>
    <col min="2" max="2" width="30.28515625" bestFit="1" customWidth="1"/>
    <col min="3" max="3" width="14.7109375" bestFit="1" customWidth="1"/>
    <col min="4" max="4" width="22.5703125" bestFit="1" customWidth="1"/>
    <col min="7" max="7" width="18.85546875" bestFit="1" customWidth="1"/>
  </cols>
  <sheetData>
    <row r="4" spans="2:8" ht="17.25">
      <c r="B4" s="54" t="s">
        <v>30</v>
      </c>
      <c r="C4" s="54" t="s">
        <v>17</v>
      </c>
      <c r="D4" s="53" t="s">
        <v>31</v>
      </c>
      <c r="E4" s="54" t="s">
        <v>32</v>
      </c>
    </row>
    <row r="5" spans="2:8" ht="17.25">
      <c r="B5" t="str">
        <f>C5&amp;"-"&amp;D5</f>
        <v>AGRESSIVO-PAPEL</v>
      </c>
      <c r="C5" t="s">
        <v>33</v>
      </c>
      <c r="D5" s="23" t="s">
        <v>23</v>
      </c>
      <c r="E5" s="24">
        <v>0.3</v>
      </c>
      <c r="H5" t="s">
        <v>32</v>
      </c>
    </row>
    <row r="6" spans="2:8" ht="17.25">
      <c r="B6" t="str">
        <f t="shared" ref="B6:B22" si="0">C6&amp;"-"&amp;D6</f>
        <v>AGRESSIVO-TIJOLO</v>
      </c>
      <c r="C6" t="s">
        <v>33</v>
      </c>
      <c r="D6" s="23" t="s">
        <v>24</v>
      </c>
      <c r="E6" s="24">
        <v>0.5</v>
      </c>
      <c r="G6" s="20" t="s">
        <v>34</v>
      </c>
      <c r="H6" s="28">
        <f>VLOOKUP(G6,$B:$E,4,FALSE)</f>
        <v>0.35</v>
      </c>
    </row>
    <row r="7" spans="2:8" ht="17.25">
      <c r="B7" t="str">
        <f t="shared" si="0"/>
        <v>AGRESSIVO-HÍBRIDO</v>
      </c>
      <c r="C7" t="s">
        <v>33</v>
      </c>
      <c r="D7" s="23" t="s">
        <v>25</v>
      </c>
      <c r="E7" s="24">
        <v>0.1</v>
      </c>
    </row>
    <row r="8" spans="2:8" ht="17.25">
      <c r="B8" t="str">
        <f t="shared" si="0"/>
        <v>AGRESSIVO-FOFs</v>
      </c>
      <c r="C8" t="s">
        <v>33</v>
      </c>
      <c r="D8" s="23" t="s">
        <v>26</v>
      </c>
      <c r="E8" s="24">
        <v>0.1</v>
      </c>
    </row>
    <row r="9" spans="2:8" ht="17.25">
      <c r="B9" t="str">
        <f t="shared" si="0"/>
        <v>AGRESSIVO-DESENVOLVIMENTO</v>
      </c>
      <c r="C9" t="s">
        <v>33</v>
      </c>
      <c r="D9" s="23" t="s">
        <v>27</v>
      </c>
      <c r="E9" s="24">
        <v>0</v>
      </c>
    </row>
    <row r="10" spans="2:8" ht="17.25">
      <c r="B10" s="25" t="str">
        <f t="shared" si="0"/>
        <v>AGRESSIVO-HOTELARIA</v>
      </c>
      <c r="C10" s="25" t="s">
        <v>33</v>
      </c>
      <c r="D10" s="26" t="s">
        <v>28</v>
      </c>
      <c r="E10" s="27">
        <v>0</v>
      </c>
    </row>
    <row r="11" spans="2:8" ht="17.25">
      <c r="B11" t="str">
        <f t="shared" si="0"/>
        <v>MODERADO-PAPEL</v>
      </c>
      <c r="C11" t="s">
        <v>35</v>
      </c>
      <c r="D11" s="23" t="s">
        <v>23</v>
      </c>
      <c r="E11" s="24">
        <v>0.32</v>
      </c>
    </row>
    <row r="12" spans="2:8" ht="17.25">
      <c r="B12" t="str">
        <f t="shared" si="0"/>
        <v>MODERADO-TIJOLO</v>
      </c>
      <c r="C12" t="s">
        <v>35</v>
      </c>
      <c r="D12" s="23" t="s">
        <v>24</v>
      </c>
      <c r="E12" s="24">
        <v>0.35</v>
      </c>
    </row>
    <row r="13" spans="2:8" ht="17.25">
      <c r="B13" t="str">
        <f t="shared" si="0"/>
        <v>MODERADO-HÍBRIDO</v>
      </c>
      <c r="C13" t="s">
        <v>35</v>
      </c>
      <c r="D13" s="23" t="s">
        <v>25</v>
      </c>
      <c r="E13" s="24">
        <v>0.08</v>
      </c>
    </row>
    <row r="14" spans="2:8" ht="17.25">
      <c r="B14" t="str">
        <f t="shared" si="0"/>
        <v>MODERADO-FOFs</v>
      </c>
      <c r="C14" t="s">
        <v>35</v>
      </c>
      <c r="D14" s="23" t="s">
        <v>26</v>
      </c>
      <c r="E14" s="24">
        <v>0.05</v>
      </c>
    </row>
    <row r="15" spans="2:8" ht="17.25">
      <c r="B15" t="str">
        <f t="shared" si="0"/>
        <v>MODERADO-DESENVOLVIMENTO</v>
      </c>
      <c r="C15" t="s">
        <v>35</v>
      </c>
      <c r="D15" s="23" t="s">
        <v>27</v>
      </c>
      <c r="E15" s="24">
        <v>0.1</v>
      </c>
    </row>
    <row r="16" spans="2:8" ht="17.25">
      <c r="B16" s="25" t="str">
        <f t="shared" si="0"/>
        <v>MODERADO-HOTELARIA</v>
      </c>
      <c r="C16" s="25" t="s">
        <v>35</v>
      </c>
      <c r="D16" s="26" t="s">
        <v>28</v>
      </c>
      <c r="E16" s="27">
        <v>0.1</v>
      </c>
    </row>
    <row r="17" spans="2:5" ht="17.25">
      <c r="B17" t="str">
        <f t="shared" si="0"/>
        <v>CONSERVADOR-PAPEL</v>
      </c>
      <c r="C17" t="s">
        <v>18</v>
      </c>
      <c r="D17" s="23" t="s">
        <v>23</v>
      </c>
      <c r="E17" s="24">
        <v>0.5</v>
      </c>
    </row>
    <row r="18" spans="2:5" ht="17.25">
      <c r="B18" t="str">
        <f t="shared" si="0"/>
        <v>CONSERVADOR-TIJOLO</v>
      </c>
      <c r="C18" t="s">
        <v>18</v>
      </c>
      <c r="D18" s="23" t="s">
        <v>24</v>
      </c>
      <c r="E18" s="24">
        <v>0.1</v>
      </c>
    </row>
    <row r="19" spans="2:5" ht="17.25">
      <c r="B19" t="str">
        <f t="shared" si="0"/>
        <v>CONSERVADOR-HÍBRIDO</v>
      </c>
      <c r="C19" t="s">
        <v>18</v>
      </c>
      <c r="D19" s="23" t="s">
        <v>25</v>
      </c>
      <c r="E19" s="24">
        <v>0.05</v>
      </c>
    </row>
    <row r="20" spans="2:5" ht="17.25">
      <c r="B20" t="str">
        <f t="shared" si="0"/>
        <v>CONSERVADOR-FOFs</v>
      </c>
      <c r="C20" t="s">
        <v>18</v>
      </c>
      <c r="D20" s="23" t="s">
        <v>26</v>
      </c>
      <c r="E20" s="24">
        <v>0.05</v>
      </c>
    </row>
    <row r="21" spans="2:5" ht="17.25">
      <c r="B21" t="str">
        <f t="shared" si="0"/>
        <v>CONSERVADOR-DESENVOLVIMENTO</v>
      </c>
      <c r="C21" t="s">
        <v>18</v>
      </c>
      <c r="D21" s="23" t="s">
        <v>27</v>
      </c>
      <c r="E21" s="24">
        <v>0.2</v>
      </c>
    </row>
    <row r="22" spans="2:5" ht="17.25">
      <c r="B22" s="25" t="str">
        <f t="shared" si="0"/>
        <v>CONSERVADOR-HOTELARIA</v>
      </c>
      <c r="C22" s="25" t="s">
        <v>18</v>
      </c>
      <c r="D22" s="26" t="s">
        <v>28</v>
      </c>
      <c r="E22" s="27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2026-01-07T19:38:31Z</dcterms:created>
  <dcterms:modified xsi:type="dcterms:W3CDTF">2026-01-08T17:33:18Z</dcterms:modified>
  <cp:category/>
  <cp:contentStatus/>
</cp:coreProperties>
</file>